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thieuthiao-layel/Documents/promptcraft/"/>
    </mc:Choice>
  </mc:AlternateContent>
  <xr:revisionPtr revIDLastSave="0" documentId="13_ncr:1_{FE82FE3B-3543-5D48-8054-F90EACACA45A}" xr6:coauthVersionLast="47" xr6:coauthVersionMax="47" xr10:uidLastSave="{00000000-0000-0000-0000-000000000000}"/>
  <bookViews>
    <workbookView xWindow="0" yWindow="0" windowWidth="68800" windowHeight="28800" tabRatio="500" xr2:uid="{00000000-000D-0000-FFFF-FFFF00000000}"/>
  </bookViews>
  <sheets>
    <sheet name="Checklist Production" sheetId="1" r:id="rId1"/>
    <sheet name="Résumé" sheetId="2" r:id="rId2"/>
  </sheets>
  <definedNames>
    <definedName name="_xlnm._FilterDatabase" localSheetId="0" hidden="1">'Checklist Production'!$A$4:$G$80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2" l="1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C3" i="1"/>
  <c r="E15" i="2" l="1"/>
  <c r="C15" i="2"/>
  <c r="D15" i="2"/>
  <c r="B15" i="2"/>
</calcChain>
</file>

<file path=xl/sharedStrings.xml><?xml version="1.0" encoding="utf-8"?>
<sst xmlns="http://schemas.openxmlformats.org/spreadsheetml/2006/main" count="469" uniqueCount="202">
  <si>
    <t>🚀 THE PROMPT STUDIO — Plan de mise en production</t>
  </si>
  <si>
    <t>Cochez chaque étape au fur et à mesure. ✅=Fait  ⬜=À faire  ⏳=En cours  ❌=Bloqué</t>
  </si>
  <si>
    <t>Progression :</t>
  </si>
  <si>
    <t>✓</t>
  </si>
  <si>
    <t>Priorité</t>
  </si>
  <si>
    <t>Tâche</t>
  </si>
  <si>
    <t>Détails / Action</t>
  </si>
  <si>
    <t>Responsable</t>
  </si>
  <si>
    <t>Deadline</t>
  </si>
  <si>
    <t>Notes</t>
  </si>
  <si>
    <t>🔑 1. SECRETS &amp; SÉCURITÉ</t>
  </si>
  <si>
    <t>✅</t>
  </si>
  <si>
    <t>🔴 Critique</t>
  </si>
  <si>
    <t>Régénérer la clé Supabase Service Key</t>
  </si>
  <si>
    <t>Supabase → Settings → API → service_role key</t>
  </si>
  <si>
    <t>Mathieu</t>
  </si>
  <si>
    <t>J-1</t>
  </si>
  <si>
    <t>Régénérer la clé Anthropic API Key</t>
  </si>
  <si>
    <t>console.anthropic.com → API Keys → Create new</t>
  </si>
  <si>
    <t>Régénérer le secret Lemon Squeezy Webhook</t>
  </si>
  <si>
    <t>Lemon Squeezy → Settings → Webhooks</t>
  </si>
  <si>
    <t>Vérifier que .env n'est PAS dans git</t>
  </si>
  <si>
    <t>git log --all -- .env (doit être vide)</t>
  </si>
  <si>
    <t>⚙️ 2. VARIABLES D'ENVIRONNEMENT NETLIFY</t>
  </si>
  <si>
    <t>Configurer SUPABASE_URL</t>
  </si>
  <si>
    <t>Netlify → Site → Environment Variables</t>
  </si>
  <si>
    <t>Configurer SUPABASE_SERVICE_KEY</t>
  </si>
  <si>
    <t>Nouvelle clé générée à l'étape 1</t>
  </si>
  <si>
    <t>Configurer ANTHROPIC_API_KEY</t>
  </si>
  <si>
    <t>🟠 Important</t>
  </si>
  <si>
    <t>Configurer CLAUDE_MODEL</t>
  </si>
  <si>
    <t>claude-haiku-4-5-20251001</t>
  </si>
  <si>
    <t>Configurer DEFAULT_MAX_TOKENS</t>
  </si>
  <si>
    <t>800</t>
  </si>
  <si>
    <t>Configurer LS_WEBHOOK_SECRET</t>
  </si>
  <si>
    <t>Nouveau secret Lemon Squeezy</t>
  </si>
  <si>
    <t>Configurer ALLOWED_ORIGIN</t>
  </si>
  <si>
    <t>https://theprompt.studio</t>
  </si>
  <si>
    <t>🗄️ 3. BASE DE DONNÉES SUPABASE</t>
  </si>
  <si>
    <t>Exécuter sql/SAFE-full-migration.sql</t>
  </si>
  <si>
    <t>SQL Editor Supabase — crée toutes les tables, RLS, RPCs</t>
  </si>
  <si>
    <t>Exécuter sql/analytics-complete.sql</t>
  </si>
  <si>
    <t>Tables events, pricing, feature_adoptions + 10 vues admin</t>
  </si>
  <si>
    <t>Exécuter sql/update-all-tool-schemas.sql</t>
  </si>
  <si>
    <t>Injecte les input_schema des 100 outils</t>
  </si>
  <si>
    <t>Vérifier RLS activé sur toutes les tables</t>
  </si>
  <si>
    <t>Supabase → Authentication → Policies</t>
  </si>
  <si>
    <t>❌</t>
  </si>
  <si>
    <t>Activer les backups automatiques</t>
  </si>
  <si>
    <t>Supabase → Settings → Database → Backups</t>
  </si>
  <si>
    <t>🔐 4. AUTHENTIFICATION SUPABASE</t>
  </si>
  <si>
    <t>Configurer Site URL</t>
  </si>
  <si>
    <t>Auth → URL Configuration → https://theprompt.studio</t>
  </si>
  <si>
    <t>Configurer Redirect URLs</t>
  </si>
  <si>
    <t>https://theprompt.studio/**</t>
  </si>
  <si>
    <t>Personnaliser le template Magic Link (optionnel si auth email/mdp)</t>
  </si>
  <si>
    <t>Auth → Email Templates. Non requis si auth classique email + mot de passe</t>
  </si>
  <si>
    <t>Semaine 1</t>
  </si>
  <si>
    <t>Magic link = méthode alternative. Pas nécessaire pour auth classique.</t>
  </si>
  <si>
    <t>⬜</t>
  </si>
  <si>
    <t>Personnaliser le template Confirmation (requis)</t>
  </si>
  <si>
    <t>Auth → Email Templates → email envoyé après signUp pour vérifier l'adresse</t>
  </si>
  <si>
    <t>Utilisé par auth email/mdp pour confirmer l'email. À garder activé.</t>
  </si>
  <si>
    <t>🟡 Moyen</t>
  </si>
  <si>
    <t>Configurer Google OAuth</t>
  </si>
  <si>
    <t>Permet "Se connecter avec Google" en plus de email/mdp</t>
  </si>
  <si>
    <t>Mois 1</t>
  </si>
  <si>
    <t>5 sous-étapes ci-dessous</t>
  </si>
  <si>
    <t xml:space="preserve">  ↳ 4a. Créer projet Google Cloud</t>
  </si>
  <si>
    <t>console.cloud.google.com → New Project → "The Prompt Studio"</t>
  </si>
  <si>
    <t xml:space="preserve">  ↳ 4b. Configurer OAuth Consent Screen</t>
  </si>
  <si>
    <t>APIs &amp; Services → OAuth consent → External → app name + domaine autorisé theprompt.studio</t>
  </si>
  <si>
    <t>Scopes par défaut: email, profile, openid</t>
  </si>
  <si>
    <t xml:space="preserve">  ↳ 4c. Créer OAuth 2.0 Client ID</t>
  </si>
  <si>
    <t>Credentials → Create → Web app → Redirect URI: &lt;ref&gt;.supabase.co/auth/v1/callback</t>
  </si>
  <si>
    <t>Ajouter aussi localhost pour le dev</t>
  </si>
  <si>
    <t xml:space="preserve">  ↳ 4d. Activer Google dans Supabase</t>
  </si>
  <si>
    <t>Supabase → Auth → Providers → Google → ON → coller Client ID + Secret</t>
  </si>
  <si>
    <t xml:space="preserve">  ↳ 4e. Ajouter bouton "Sign in with Google" dans le frontend</t>
  </si>
  <si>
    <t>ps-auth.js → supabase.auth.signInWithOAuth({ provider: "google" })</t>
  </si>
  <si>
    <t>redirectTo: /dashboard.html</t>
  </si>
  <si>
    <t>🌐 5. DOMAINE &amp; DNS</t>
  </si>
  <si>
    <t>Ajouter domaine theprompt.studio sur Netlify</t>
  </si>
  <si>
    <t>Netlify → Domain management → Add domain</t>
  </si>
  <si>
    <t>Configurer DNS (A record + CNAME www)</t>
  </si>
  <si>
    <t>A @ → 75.2.60.5 / CNAME www → theprompt.studio</t>
  </si>
  <si>
    <t>Vérifier HTTPS automatique actif</t>
  </si>
  <si>
    <t>Netlify → Domain → HTTPS (Let's Encrypt)</t>
  </si>
  <si>
    <t>💳 6. PAIEMENTS LEMON SQUEEZY</t>
  </si>
  <si>
    <t>Créer les produits Immobilier (4 tiers × 2 périodes)</t>
  </si>
  <si>
    <t>Starter/Pro/Gold/Team × Monthly/Yearly = 8 produits</t>
  </si>
  <si>
    <t>Créer les produits Legal (8 produits)</t>
  </si>
  <si>
    <t>Idem pour la verticale Juridique</t>
  </si>
  <si>
    <t>Créer les produits Finance (8 produits)</t>
  </si>
  <si>
    <t>Idem pour Finance &amp; Comptabilité</t>
  </si>
  <si>
    <t>Créer les produits pour les 7 autres verticales</t>
  </si>
  <si>
    <t>56 produits restants</t>
  </si>
  <si>
    <t>Configurer le webhook Lemon Squeezy</t>
  </si>
  <si>
    <t>URL: https://theprompt.studio/api/webhook-ls</t>
  </si>
  <si>
    <t>Activer les events webhook nécessaires</t>
  </si>
  <si>
    <t>subscription_created/updated/cancelled/expired</t>
  </si>
  <si>
    <t>Mettre à jour les UUIDs dans tarifs.html</t>
  </si>
  <si>
    <t>Remplacer IMMO_UUID_SM, COM_UUID_PM, etc.</t>
  </si>
  <si>
    <t>Tester un achat de bout en bout</t>
  </si>
  <si>
    <t>Checkout → webhook → subscription active → accès outils</t>
  </si>
  <si>
    <t>📧 7. EMAILS</t>
  </si>
  <si>
    <t>Personnaliser emails Supabase Auth</t>
  </si>
  <si>
    <t>5 templates HTML créés dans email-templates/ (confirmation, reset, magic link, invite, email change)</t>
  </si>
  <si>
    <t>DA du site respectée. Copier via: cat email-templates/xxx.html | pbcopy</t>
  </si>
  <si>
    <t>Configurer Resend comme service d'envoi SMTP</t>
  </si>
  <si>
    <t>Resend configuré + SMTP branché dans Supabase (smtp.resend.com:465)</t>
  </si>
  <si>
    <t>API key Resend dans Supabase SMTP settings</t>
  </si>
  <si>
    <t>Configurer SPF/DKIM/DMARC</t>
  </si>
  <si>
    <t>Records DNS ajoutés dans Netlify: DKIM + SPF + MX + DMARC</t>
  </si>
  <si>
    <t>Vérifiés dans Resend</t>
  </si>
  <si>
    <t>Créer email de bienvenue post-inscription</t>
  </si>
  <si>
    <t>Template + déclencheur</t>
  </si>
  <si>
    <t>Créer email de confirmation d'abonnement</t>
  </si>
  <si>
    <t>Webhook subscription_created → email</t>
  </si>
  <si>
    <t>🟢 Optionnel</t>
  </si>
  <si>
    <t>Ajouter le multilingue aux templates email (EN, ES)</t>
  </si>
  <si>
    <t>FR principal + EN en dessous, ou envoi dynamique via Resend + profiles.lang</t>
  </si>
  <si>
    <t>Mois 2+</t>
  </si>
  <si>
    <t>Non prioritaire. Rester en FR pour le lancement.</t>
  </si>
  <si>
    <t>📊 8. MONITORING &amp; ALERTES</t>
  </si>
  <si>
    <t>Configurer budget Anthropic</t>
  </si>
  <si>
    <t>console.anthropic.com → Limits → Monthly budget</t>
  </si>
  <si>
    <t>Activer alerts Anthropic à 80% du budget</t>
  </si>
  <si>
    <t>console.anthropic.com → Limits → Alerts</t>
  </si>
  <si>
    <t>Configurer UptimeRobot ou BetterStack</t>
  </si>
  <si>
    <t>Check https://theprompt.studio toutes les 5 min</t>
  </si>
  <si>
    <t>📈 9. ANALYTICS &amp; SEO</t>
  </si>
  <si>
    <t>Installer Google Analytics 4 ou Plausible</t>
  </si>
  <si>
    <t>Script dans &lt;head&gt; de toutes les pages</t>
  </si>
  <si>
    <t>Ajouter theprompt.studio dans Search Console</t>
  </si>
  <si>
    <t>Google Search Console → Add property</t>
  </si>
  <si>
    <t>Soumettre sitemap.xml</t>
  </si>
  <si>
    <t>Search Console → Sitemaps → sitemap.xml</t>
  </si>
  <si>
    <t>⚖️ 10. LEGAL &amp; CONFORMITÉ</t>
  </si>
  <si>
    <t>Mettre à jour SIRET / raison sociale</t>
  </si>
  <si>
    <t>mentions-legales.html</t>
  </si>
  <si>
    <t>Vérifier les CGV (tarifs, tiers, remboursement)</t>
  </si>
  <si>
    <t>cgv.html — aligner avec les vrais prix</t>
  </si>
  <si>
    <t>Vérifier la politique de confidentialité</t>
  </si>
  <si>
    <t>politique-confidentialite.html — RGPD</t>
  </si>
  <si>
    <t>Ajouter l'identité de l'hébergeur</t>
  </si>
  <si>
    <t>Netlify + Supabase dans mentions légales</t>
  </si>
  <si>
    <t>🧪 11. TEST DE BOUT EN BOUT</t>
  </si>
  <si>
    <t>Test: inscription email/mdp + confirmation</t>
  </si>
  <si>
    <t>Créer un compte email/mdp → recevoir email confirmation → cliquer → connecté</t>
  </si>
  <si>
    <t>Auth classique, pas magic link</t>
  </si>
  <si>
    <t>Test: inscription via Google OAuth</t>
  </si>
  <si>
    <t>Cliquer "Sign in with Google" → redirect Google → retour dashboard</t>
  </si>
  <si>
    <t>Nécessite étape 4 complétée</t>
  </si>
  <si>
    <t>Test: essai gratuit → accès complet</t>
  </si>
  <si>
    <t>Vérifier que le trial donne accès à tous les outils</t>
  </si>
  <si>
    <t>Test: génération IA fonctionnelle</t>
  </si>
  <si>
    <t>Utiliser un outil → résultat affiché → historique</t>
  </si>
  <si>
    <t>Test: achat → webhook → accès</t>
  </si>
  <si>
    <t>Payer → subscription créée → outils débloqués</t>
  </si>
  <si>
    <t>Test: CRM projets (créer, modifier, lier à outil)</t>
  </si>
  <si>
    <t>Gold: créer projet → utiliser outil avec prefill</t>
  </si>
  <si>
    <t>Test: chatbot (free + expert)</t>
  </si>
  <si>
    <t>Pro: chatbot spécialiste fonctionnel</t>
  </si>
  <si>
    <t>Test: report bug + suggestion outil</t>
  </si>
  <si>
    <t>Envoyer un report → vérifier en base</t>
  </si>
  <si>
    <t>Test: admin dashboard (10 onglets)</t>
  </si>
  <si>
    <t>Vérifier que les vues SQL remontent les données</t>
  </si>
  <si>
    <t>Test: multilingue (EN, ES)</t>
  </si>
  <si>
    <t>Switcher la langue → vérifier tarifs + FAQ</t>
  </si>
  <si>
    <t>Test: responsive mobile</t>
  </si>
  <si>
    <t>Dashboard + outils + tarifs sur smartphone</t>
  </si>
  <si>
    <t>🚀 12. LANCEMENT</t>
  </si>
  <si>
    <t>Publier sur Product Hunt</t>
  </si>
  <si>
    <t>Préparer page + screenshots + description</t>
  </si>
  <si>
    <t>Premier post LinkedIn</t>
  </si>
  <si>
    <t>Annonce du lancement avec démo</t>
  </si>
  <si>
    <t>Ajouter demo-dashboard.png dans assets/images/</t>
  </si>
  <si>
    <t>Screenshot du dashboard pour la landing page</t>
  </si>
  <si>
    <t>Enregistrer une vraie vidéo démo (Loom)</t>
  </si>
  <si>
    <t>Parcours: inscription → outil → projet → résultat</t>
  </si>
  <si>
    <t>Configurer les programmes d'affiliation partenaires</t>
  </si>
  <si>
    <t>Make, Brevo, Canva, HubSpot → vrais liens affiliés</t>
  </si>
  <si>
    <t>📊 Résumé de progression</t>
  </si>
  <si>
    <t>Catégorie</t>
  </si>
  <si>
    <t>✅ Fait</t>
  </si>
  <si>
    <t>⬜ À faire</t>
  </si>
  <si>
    <t>⏳ En cours</t>
  </si>
  <si>
    <t>❌ Bloqué</t>
  </si>
  <si>
    <t>Secrets &amp; Sécurité</t>
  </si>
  <si>
    <t>Variables Netlify</t>
  </si>
  <si>
    <t>Base de données</t>
  </si>
  <si>
    <t>Authentification</t>
  </si>
  <si>
    <t>Domaine &amp; DNS</t>
  </si>
  <si>
    <t>Paiements</t>
  </si>
  <si>
    <t>Emails</t>
  </si>
  <si>
    <t>Monitoring</t>
  </si>
  <si>
    <t>Analytics &amp; SEO</t>
  </si>
  <si>
    <t>Legal</t>
  </si>
  <si>
    <t>Tests E2E</t>
  </si>
  <si>
    <t>Lancement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</si>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</sst>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C9A84C"/>
      <name val="Arial"/>
      <family val="2"/>
      <charset val="1"/>
    </font>
    <font>
      <sz val="9"/>
      <color rgb="FF7C8098"/>
      <name val="Arial"/>
      <family val="2"/>
      <charset val="1"/>
    </font>
    <font>
      <b/>
      <sz val="10"/>
      <color rgb="FFC9A84C"/>
      <name val="Arial"/>
      <family val="2"/>
      <charset val="1"/>
    </font>
    <font>
      <b/>
      <sz val="10"/>
      <color rgb="FF22C55E"/>
      <name val="Arial"/>
      <family val="2"/>
      <charset val="1"/>
    </font>
    <font>
      <b/>
      <sz val="9"/>
      <color rgb="FFC9A84C"/>
      <name val="Arial"/>
      <family val="2"/>
      <charset val="1"/>
    </font>
    <font>
      <b/>
      <sz val="10"/>
      <color rgb="FF6C63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F59E0B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color rgb="FF22C55E"/>
      <name val="Arial"/>
      <family val="2"/>
      <charset val="1"/>
    </font>
    <font>
      <sz val="10"/>
      <color rgb="FFEF4444"/>
      <name val="Arial"/>
      <family val="2"/>
      <charset val="1"/>
    </font>
    <font>
      <b/>
      <sz val="11"/>
      <color rgb="FFC9A84C"/>
      <name val="Arial"/>
      <family val="2"/>
      <charset val="1"/>
    </font>
    <font>
      <b/>
      <sz val="11"/>
      <color rgb="FFFFFF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3161F"/>
        <bgColor rgb="FF1A1D27"/>
      </patternFill>
    </fill>
    <fill>
      <patternFill patternType="solid">
        <fgColor rgb="FF2D2A1F"/>
        <bgColor rgb="FF2A2D3E"/>
      </patternFill>
    </fill>
    <fill>
      <patternFill patternType="solid">
        <fgColor rgb="FF22253A"/>
        <bgColor rgb="FF2A2D3E"/>
      </patternFill>
    </fill>
    <fill>
      <patternFill patternType="solid">
        <fgColor rgb="FF1A1D27"/>
        <bgColor rgb="FF13161F"/>
      </patternFill>
    </fill>
  </fills>
  <borders count="2">
    <border>
      <left/>
      <right/>
      <top/>
      <bottom/>
      <diagonal/>
    </border>
    <border>
      <left/>
      <right/>
      <top/>
      <bottom style="thin">
        <color rgb="FF2A2D3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4" fillId="3" borderId="0" xfId="0" applyFont="1" applyFill="1"/>
    <xf numFmtId="0" fontId="0" fillId="3" borderId="0" xfId="0" applyFill="1"/>
    <xf numFmtId="0" fontId="5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/>
    <xf numFmtId="0" fontId="7" fillId="5" borderId="0" xfId="0" applyFont="1" applyFill="1"/>
    <xf numFmtId="0" fontId="2" fillId="5" borderId="0" xfId="0" applyFont="1" applyFill="1"/>
    <xf numFmtId="0" fontId="8" fillId="5" borderId="0" xfId="0" applyFont="1" applyFill="1"/>
    <xf numFmtId="0" fontId="0" fillId="0" borderId="1" xfId="0" applyBorder="1"/>
    <xf numFmtId="0" fontId="10" fillId="5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 vertical="center"/>
    </xf>
    <xf numFmtId="0" fontId="7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3" borderId="0" xfId="0" applyFont="1" applyFill="1"/>
    <xf numFmtId="0" fontId="13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3161F"/>
      <rgbColor rgb="FF808000"/>
      <rgbColor rgb="FF800080"/>
      <rgbColor rgb="FF008080"/>
      <rgbColor rgb="FFC0C0C0"/>
      <rgbColor rgb="FF7C809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59E0B"/>
      <rgbColor rgb="FFEF4444"/>
      <rgbColor rgb="FF666699"/>
      <rgbColor rgb="FFC9A84C"/>
      <rgbColor rgb="FF22253A"/>
      <rgbColor rgb="FF22C55E"/>
      <rgbColor rgb="FF1A1D27"/>
      <rgbColor rgb="FF2D2A1F"/>
      <rgbColor rgb="FF993300"/>
      <rgbColor rgb="FF993366"/>
      <rgbColor rgb="FF333399"/>
      <rgbColor rgb="FF2A2D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prompt.st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G126"/>
  <sheetViews>
    <sheetView tabSelected="1" zoomScale="111" zoomScaleNormal="165" workbookViewId="0">
      <pane ySplit="4" topLeftCell="A37" activePane="bottomLeft" state="frozen"/>
      <selection pane="bottomLeft" activeCell="D50" sqref="D50"/>
    </sheetView>
  </sheetViews>
  <sheetFormatPr baseColWidth="10" defaultColWidth="8.6640625" defaultRowHeight="15" customHeight="1" x14ac:dyDescent="0.2"/>
  <cols>
    <col min="1" max="1" width="30.83203125" bestFit="1" customWidth="1"/>
    <col min="2" max="2" width="11.5" bestFit="1" customWidth="1"/>
    <col min="3" max="3" width="53.33203125" bestFit="1" customWidth="1"/>
    <col min="4" max="4" width="69.83203125" bestFit="1" customWidth="1"/>
    <col min="5" max="5" width="15.1640625" bestFit="1" customWidth="1"/>
    <col min="6" max="6" width="12.33203125" bestFit="1" customWidth="1"/>
    <col min="7" max="7" width="49.6640625" bestFit="1" customWidth="1"/>
  </cols>
  <sheetData>
    <row r="1" spans="1:7" ht="18" customHeight="1" x14ac:dyDescent="0.2">
      <c r="A1" s="26" t="s">
        <v>0</v>
      </c>
      <c r="B1" s="26"/>
      <c r="C1" s="26"/>
      <c r="D1" s="26"/>
      <c r="E1" s="26"/>
      <c r="F1" s="26"/>
      <c r="G1" s="26"/>
    </row>
    <row r="2" spans="1:7" ht="15" customHeight="1" x14ac:dyDescent="0.2">
      <c r="A2" s="27" t="s">
        <v>1</v>
      </c>
      <c r="B2" s="27"/>
      <c r="C2" s="27"/>
      <c r="D2" s="27"/>
      <c r="E2" s="27"/>
      <c r="F2" s="27"/>
      <c r="G2" s="27"/>
    </row>
    <row r="3" spans="1:7" ht="15" customHeight="1" x14ac:dyDescent="0.2">
      <c r="A3" s="28" t="s">
        <v>2</v>
      </c>
      <c r="B3" s="28"/>
      <c r="C3" s="3" t="str">
        <f>CONCATENATE(COUNTIF(A5:A200,"✅")," / ",COUNTA(C5:C200)," tâches complétées (",ROUND(COUNTIF(A5:A200,"✅")/MAX(COUNTA(C5:C200),1)*100,0),"%)")</f>
        <v>25 / 69 tâches complétées (36%)</v>
      </c>
      <c r="D3" s="4"/>
      <c r="E3" s="4"/>
      <c r="F3" s="4"/>
      <c r="G3" s="4"/>
    </row>
    <row r="4" spans="1:7" ht="1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7" ht="15" customHeight="1" x14ac:dyDescent="0.2">
      <c r="A5" s="24" t="s">
        <v>10</v>
      </c>
      <c r="B5" s="24"/>
      <c r="C5" s="24"/>
      <c r="D5" s="24"/>
      <c r="E5" s="24"/>
      <c r="F5" s="24"/>
      <c r="G5" s="24"/>
    </row>
    <row r="6" spans="1:7" ht="25.5" customHeight="1" x14ac:dyDescent="0.2">
      <c r="A6" s="1" t="s">
        <v>11</v>
      </c>
      <c r="B6" s="6" t="s">
        <v>12</v>
      </c>
      <c r="C6" s="7" t="s">
        <v>13</v>
      </c>
      <c r="D6" s="8" t="s">
        <v>14</v>
      </c>
      <c r="E6" s="6" t="s">
        <v>15</v>
      </c>
      <c r="F6" s="9" t="s">
        <v>16</v>
      </c>
      <c r="G6" s="8"/>
    </row>
    <row r="7" spans="1:7" ht="25.5" customHeight="1" x14ac:dyDescent="0.2">
      <c r="A7" s="1" t="s">
        <v>11</v>
      </c>
      <c r="B7" s="6" t="s">
        <v>12</v>
      </c>
      <c r="C7" s="7" t="s">
        <v>17</v>
      </c>
      <c r="D7" s="8" t="s">
        <v>18</v>
      </c>
      <c r="E7" s="6" t="s">
        <v>15</v>
      </c>
      <c r="F7" s="9" t="s">
        <v>16</v>
      </c>
      <c r="G7" s="8"/>
    </row>
    <row r="8" spans="1:7" ht="15" customHeight="1" x14ac:dyDescent="0.2">
      <c r="A8" s="1" t="s">
        <v>11</v>
      </c>
      <c r="B8" s="6" t="s">
        <v>12</v>
      </c>
      <c r="C8" s="7" t="s">
        <v>19</v>
      </c>
      <c r="D8" s="8" t="s">
        <v>20</v>
      </c>
      <c r="E8" s="6" t="s">
        <v>15</v>
      </c>
      <c r="F8" s="9" t="s">
        <v>16</v>
      </c>
      <c r="G8" s="8"/>
    </row>
    <row r="9" spans="1:7" ht="15" customHeight="1" x14ac:dyDescent="0.2">
      <c r="A9" s="1" t="s">
        <v>11</v>
      </c>
      <c r="B9" s="6" t="s">
        <v>12</v>
      </c>
      <c r="C9" s="7" t="s">
        <v>21</v>
      </c>
      <c r="D9" s="8" t="s">
        <v>22</v>
      </c>
      <c r="E9" s="6" t="s">
        <v>15</v>
      </c>
      <c r="F9" s="9" t="s">
        <v>16</v>
      </c>
      <c r="G9" s="8"/>
    </row>
    <row r="10" spans="1:7" ht="15" customHeight="1" x14ac:dyDescent="0.2">
      <c r="A10" s="24" t="s">
        <v>23</v>
      </c>
      <c r="B10" s="24"/>
      <c r="C10" s="24"/>
      <c r="D10" s="24"/>
      <c r="E10" s="24"/>
      <c r="F10" s="24"/>
      <c r="G10" s="24"/>
    </row>
    <row r="11" spans="1:7" ht="15" customHeight="1" x14ac:dyDescent="0.2">
      <c r="A11" s="1" t="s">
        <v>11</v>
      </c>
      <c r="B11" s="6" t="s">
        <v>12</v>
      </c>
      <c r="C11" s="7" t="s">
        <v>24</v>
      </c>
      <c r="D11" s="8" t="s">
        <v>25</v>
      </c>
      <c r="E11" s="6" t="s">
        <v>15</v>
      </c>
      <c r="F11" s="9" t="s">
        <v>16</v>
      </c>
      <c r="G11" s="8"/>
    </row>
    <row r="12" spans="1:7" ht="15" customHeight="1" x14ac:dyDescent="0.2">
      <c r="A12" s="1" t="s">
        <v>11</v>
      </c>
      <c r="B12" s="6" t="s">
        <v>12</v>
      </c>
      <c r="C12" s="7" t="s">
        <v>26</v>
      </c>
      <c r="D12" s="8" t="s">
        <v>27</v>
      </c>
      <c r="E12" s="6" t="s">
        <v>15</v>
      </c>
      <c r="F12" s="9" t="s">
        <v>16</v>
      </c>
      <c r="G12" s="8"/>
    </row>
    <row r="13" spans="1:7" ht="15" customHeight="1" x14ac:dyDescent="0.2">
      <c r="A13" s="1" t="s">
        <v>11</v>
      </c>
      <c r="B13" s="6" t="s">
        <v>12</v>
      </c>
      <c r="C13" s="7" t="s">
        <v>28</v>
      </c>
      <c r="D13" s="8" t="s">
        <v>27</v>
      </c>
      <c r="E13" s="6" t="s">
        <v>15</v>
      </c>
      <c r="F13" s="9" t="s">
        <v>16</v>
      </c>
      <c r="G13" s="8"/>
    </row>
    <row r="14" spans="1:7" ht="15" customHeight="1" x14ac:dyDescent="0.2">
      <c r="A14" s="1" t="s">
        <v>11</v>
      </c>
      <c r="B14" s="6" t="s">
        <v>29</v>
      </c>
      <c r="C14" s="7" t="s">
        <v>30</v>
      </c>
      <c r="D14" s="8" t="s">
        <v>31</v>
      </c>
      <c r="E14" s="6" t="s">
        <v>15</v>
      </c>
      <c r="F14" s="9" t="s">
        <v>16</v>
      </c>
      <c r="G14" s="8"/>
    </row>
    <row r="15" spans="1:7" ht="15" customHeight="1" x14ac:dyDescent="0.2">
      <c r="A15" s="1" t="s">
        <v>11</v>
      </c>
      <c r="B15" s="6" t="s">
        <v>29</v>
      </c>
      <c r="C15" s="7" t="s">
        <v>32</v>
      </c>
      <c r="D15" s="8" t="s">
        <v>33</v>
      </c>
      <c r="E15" s="6" t="s">
        <v>15</v>
      </c>
      <c r="F15" s="9" t="s">
        <v>16</v>
      </c>
      <c r="G15" s="8"/>
    </row>
    <row r="16" spans="1:7" ht="15" customHeight="1" x14ac:dyDescent="0.2">
      <c r="A16" s="1" t="s">
        <v>11</v>
      </c>
      <c r="B16" s="6" t="s">
        <v>12</v>
      </c>
      <c r="C16" s="7" t="s">
        <v>34</v>
      </c>
      <c r="D16" s="8" t="s">
        <v>35</v>
      </c>
      <c r="E16" s="6" t="s">
        <v>15</v>
      </c>
      <c r="F16" s="9" t="s">
        <v>16</v>
      </c>
      <c r="G16" s="8"/>
    </row>
    <row r="17" spans="1:7" ht="15.75" customHeight="1" x14ac:dyDescent="0.2">
      <c r="A17" s="1" t="s">
        <v>11</v>
      </c>
      <c r="B17" s="6" t="s">
        <v>29</v>
      </c>
      <c r="C17" s="7" t="s">
        <v>36</v>
      </c>
      <c r="D17" s="10" t="s">
        <v>37</v>
      </c>
      <c r="E17" s="6" t="s">
        <v>15</v>
      </c>
      <c r="F17" s="9" t="s">
        <v>16</v>
      </c>
      <c r="G17" s="8"/>
    </row>
    <row r="18" spans="1:7" ht="15" customHeight="1" x14ac:dyDescent="0.2">
      <c r="A18" s="24" t="s">
        <v>38</v>
      </c>
      <c r="B18" s="24"/>
      <c r="C18" s="24"/>
      <c r="D18" s="24"/>
      <c r="E18" s="24"/>
      <c r="F18" s="24"/>
      <c r="G18" s="24"/>
    </row>
    <row r="19" spans="1:7" ht="25.5" customHeight="1" x14ac:dyDescent="0.2">
      <c r="A19" s="1" t="s">
        <v>11</v>
      </c>
      <c r="B19" s="6" t="s">
        <v>12</v>
      </c>
      <c r="C19" s="7" t="s">
        <v>39</v>
      </c>
      <c r="D19" s="8" t="s">
        <v>40</v>
      </c>
      <c r="E19" s="6" t="s">
        <v>15</v>
      </c>
      <c r="F19" s="9" t="s">
        <v>16</v>
      </c>
      <c r="G19" s="8"/>
    </row>
    <row r="20" spans="1:7" ht="25.5" customHeight="1" x14ac:dyDescent="0.2">
      <c r="A20" s="1" t="s">
        <v>11</v>
      </c>
      <c r="B20" s="6" t="s">
        <v>12</v>
      </c>
      <c r="C20" s="7" t="s">
        <v>41</v>
      </c>
      <c r="D20" s="8" t="s">
        <v>42</v>
      </c>
      <c r="E20" s="6" t="s">
        <v>15</v>
      </c>
      <c r="F20" s="9" t="s">
        <v>16</v>
      </c>
      <c r="G20" s="8"/>
    </row>
    <row r="21" spans="1:7" ht="15" customHeight="1" x14ac:dyDescent="0.2">
      <c r="A21" s="1" t="s">
        <v>11</v>
      </c>
      <c r="B21" s="6" t="s">
        <v>12</v>
      </c>
      <c r="C21" s="7" t="s">
        <v>43</v>
      </c>
      <c r="D21" s="8" t="s">
        <v>44</v>
      </c>
      <c r="E21" s="6" t="s">
        <v>15</v>
      </c>
      <c r="F21" s="9" t="s">
        <v>16</v>
      </c>
      <c r="G21" s="8"/>
    </row>
    <row r="22" spans="1:7" ht="15" customHeight="1" x14ac:dyDescent="0.2">
      <c r="A22" s="1" t="s">
        <v>11</v>
      </c>
      <c r="B22" s="6" t="s">
        <v>29</v>
      </c>
      <c r="C22" s="7" t="s">
        <v>45</v>
      </c>
      <c r="D22" s="8" t="s">
        <v>46</v>
      </c>
      <c r="E22" s="6" t="s">
        <v>15</v>
      </c>
      <c r="F22" s="9" t="s">
        <v>16</v>
      </c>
      <c r="G22" s="8"/>
    </row>
    <row r="23" spans="1:7" ht="21.75" customHeight="1" x14ac:dyDescent="0.2">
      <c r="A23" s="1" t="s">
        <v>47</v>
      </c>
      <c r="B23" s="6" t="s">
        <v>29</v>
      </c>
      <c r="C23" s="7" t="s">
        <v>48</v>
      </c>
      <c r="D23" s="8" t="s">
        <v>49</v>
      </c>
      <c r="E23" s="6" t="s">
        <v>15</v>
      </c>
      <c r="F23" s="9" t="s">
        <v>16</v>
      </c>
      <c r="G23" s="8"/>
    </row>
    <row r="24" spans="1:7" ht="15" customHeight="1" x14ac:dyDescent="0.2">
      <c r="A24" s="24" t="s">
        <v>50</v>
      </c>
      <c r="B24" s="24"/>
      <c r="C24" s="24"/>
      <c r="D24" s="24"/>
      <c r="E24" s="24"/>
      <c r="F24" s="24"/>
      <c r="G24" s="24"/>
    </row>
    <row r="25" spans="1:7" ht="25.5" customHeight="1" x14ac:dyDescent="0.2">
      <c r="A25" s="1" t="s">
        <v>11</v>
      </c>
      <c r="B25" s="6" t="s">
        <v>12</v>
      </c>
      <c r="C25" s="7" t="s">
        <v>51</v>
      </c>
      <c r="D25" s="8" t="s">
        <v>52</v>
      </c>
      <c r="E25" s="6" t="s">
        <v>15</v>
      </c>
      <c r="F25" s="9" t="s">
        <v>16</v>
      </c>
      <c r="G25" s="8"/>
    </row>
    <row r="26" spans="1:7" ht="15" customHeight="1" x14ac:dyDescent="0.2">
      <c r="A26" s="1" t="s">
        <v>11</v>
      </c>
      <c r="B26" s="6" t="s">
        <v>12</v>
      </c>
      <c r="C26" s="7" t="s">
        <v>53</v>
      </c>
      <c r="D26" s="8" t="s">
        <v>54</v>
      </c>
      <c r="E26" s="6" t="s">
        <v>15</v>
      </c>
      <c r="F26" s="9" t="s">
        <v>16</v>
      </c>
      <c r="G26" s="8"/>
    </row>
    <row r="27" spans="1:7" ht="25.5" customHeight="1" x14ac:dyDescent="0.2">
      <c r="A27" s="1" t="s">
        <v>47</v>
      </c>
      <c r="B27" s="6" t="s">
        <v>29</v>
      </c>
      <c r="C27" s="7" t="s">
        <v>55</v>
      </c>
      <c r="D27" s="8" t="s">
        <v>56</v>
      </c>
      <c r="E27" s="6" t="s">
        <v>15</v>
      </c>
      <c r="F27" s="9" t="s">
        <v>57</v>
      </c>
      <c r="G27" s="8" t="s">
        <v>58</v>
      </c>
    </row>
    <row r="28" spans="1:7" ht="32.25" customHeight="1" x14ac:dyDescent="0.2">
      <c r="A28" s="1" t="s">
        <v>11</v>
      </c>
      <c r="B28" s="6" t="s">
        <v>29</v>
      </c>
      <c r="C28" s="7" t="s">
        <v>60</v>
      </c>
      <c r="D28" s="8" t="s">
        <v>61</v>
      </c>
      <c r="E28" s="6" t="s">
        <v>15</v>
      </c>
      <c r="F28" s="9" t="s">
        <v>57</v>
      </c>
      <c r="G28" s="8" t="s">
        <v>62</v>
      </c>
    </row>
    <row r="29" spans="1:7" ht="15" customHeight="1" x14ac:dyDescent="0.2">
      <c r="A29" s="1" t="s">
        <v>59</v>
      </c>
      <c r="B29" s="6" t="s">
        <v>63</v>
      </c>
      <c r="C29" s="7" t="s">
        <v>64</v>
      </c>
      <c r="D29" s="11" t="s">
        <v>65</v>
      </c>
      <c r="E29" s="6" t="s">
        <v>15</v>
      </c>
      <c r="F29" s="9" t="s">
        <v>66</v>
      </c>
      <c r="G29" s="8" t="s">
        <v>67</v>
      </c>
    </row>
    <row r="30" spans="1:7" ht="15" customHeight="1" x14ac:dyDescent="0.2">
      <c r="A30" s="12" t="s">
        <v>11</v>
      </c>
      <c r="B30" s="13" t="s">
        <v>63</v>
      </c>
      <c r="C30" s="12" t="s">
        <v>68</v>
      </c>
      <c r="D30" s="13" t="s">
        <v>69</v>
      </c>
      <c r="E30" s="13" t="s">
        <v>15</v>
      </c>
      <c r="F30" s="14" t="s">
        <v>66</v>
      </c>
      <c r="G30" s="13"/>
    </row>
    <row r="31" spans="1:7" ht="15" customHeight="1" x14ac:dyDescent="0.2">
      <c r="A31" s="12" t="s">
        <v>59</v>
      </c>
      <c r="B31" s="13" t="s">
        <v>63</v>
      </c>
      <c r="C31" s="12" t="s">
        <v>70</v>
      </c>
      <c r="D31" s="13" t="s">
        <v>71</v>
      </c>
      <c r="E31" s="13" t="s">
        <v>15</v>
      </c>
      <c r="F31" s="14" t="s">
        <v>66</v>
      </c>
      <c r="G31" s="13" t="s">
        <v>72</v>
      </c>
    </row>
    <row r="32" spans="1:7" ht="25.5" customHeight="1" x14ac:dyDescent="0.2">
      <c r="A32" s="12" t="s">
        <v>59</v>
      </c>
      <c r="B32" s="13" t="s">
        <v>63</v>
      </c>
      <c r="C32" s="12" t="s">
        <v>73</v>
      </c>
      <c r="D32" s="13" t="s">
        <v>74</v>
      </c>
      <c r="E32" s="13" t="s">
        <v>15</v>
      </c>
      <c r="F32" s="14" t="s">
        <v>66</v>
      </c>
      <c r="G32" s="13" t="s">
        <v>75</v>
      </c>
    </row>
    <row r="33" spans="1:7" ht="15" customHeight="1" x14ac:dyDescent="0.2">
      <c r="A33" s="12" t="s">
        <v>59</v>
      </c>
      <c r="B33" s="13" t="s">
        <v>63</v>
      </c>
      <c r="C33" s="12" t="s">
        <v>76</v>
      </c>
      <c r="D33" s="13" t="s">
        <v>77</v>
      </c>
      <c r="E33" s="13" t="s">
        <v>15</v>
      </c>
      <c r="F33" s="14" t="s">
        <v>66</v>
      </c>
      <c r="G33" s="13"/>
    </row>
    <row r="34" spans="1:7" ht="15" customHeight="1" x14ac:dyDescent="0.2">
      <c r="A34" s="12" t="s">
        <v>59</v>
      </c>
      <c r="B34" s="13" t="s">
        <v>63</v>
      </c>
      <c r="C34" s="12" t="s">
        <v>78</v>
      </c>
      <c r="D34" s="13" t="s">
        <v>79</v>
      </c>
      <c r="E34" s="13" t="s">
        <v>15</v>
      </c>
      <c r="F34" s="14" t="s">
        <v>66</v>
      </c>
      <c r="G34" s="13" t="s">
        <v>80</v>
      </c>
    </row>
    <row r="35" spans="1:7" ht="25.5" customHeight="1" x14ac:dyDescent="0.2">
      <c r="A35" s="2" t="s">
        <v>81</v>
      </c>
      <c r="B35" s="15"/>
      <c r="C35" s="15"/>
      <c r="D35" s="15"/>
      <c r="E35" s="15"/>
      <c r="F35" s="15"/>
      <c r="G35" s="15"/>
    </row>
    <row r="36" spans="1:7" ht="21.75" customHeight="1" x14ac:dyDescent="0.2">
      <c r="A36" s="1" t="s">
        <v>11</v>
      </c>
      <c r="B36" s="6" t="s">
        <v>12</v>
      </c>
      <c r="C36" s="7" t="s">
        <v>82</v>
      </c>
      <c r="D36" s="8" t="s">
        <v>83</v>
      </c>
      <c r="E36" s="6" t="s">
        <v>15</v>
      </c>
      <c r="F36" s="9" t="s">
        <v>16</v>
      </c>
      <c r="G36" s="8"/>
    </row>
    <row r="37" spans="1:7" ht="21.75" customHeight="1" x14ac:dyDescent="0.2">
      <c r="A37" s="1" t="s">
        <v>11</v>
      </c>
      <c r="B37" s="6" t="s">
        <v>12</v>
      </c>
      <c r="C37" s="7" t="s">
        <v>84</v>
      </c>
      <c r="D37" s="8" t="s">
        <v>85</v>
      </c>
      <c r="E37" s="6" t="s">
        <v>15</v>
      </c>
      <c r="F37" s="9" t="s">
        <v>16</v>
      </c>
      <c r="G37" s="8"/>
    </row>
    <row r="38" spans="1:7" ht="15" customHeight="1" x14ac:dyDescent="0.2">
      <c r="A38" s="1" t="s">
        <v>11</v>
      </c>
      <c r="B38" s="6" t="s">
        <v>12</v>
      </c>
      <c r="C38" s="7" t="s">
        <v>86</v>
      </c>
      <c r="D38" s="8" t="s">
        <v>87</v>
      </c>
      <c r="E38" s="6" t="s">
        <v>15</v>
      </c>
      <c r="F38" s="9" t="s">
        <v>16</v>
      </c>
      <c r="G38" s="8"/>
    </row>
    <row r="39" spans="1:7" ht="15" customHeight="1" x14ac:dyDescent="0.2">
      <c r="A39" s="2" t="s">
        <v>88</v>
      </c>
      <c r="B39" s="15"/>
      <c r="C39" s="15"/>
      <c r="D39" s="15"/>
      <c r="E39" s="15"/>
      <c r="F39" s="15"/>
      <c r="G39" s="15"/>
    </row>
    <row r="40" spans="1:7" ht="21.75" customHeight="1" x14ac:dyDescent="0.2">
      <c r="A40" s="1" t="s">
        <v>59</v>
      </c>
      <c r="B40" s="6" t="s">
        <v>12</v>
      </c>
      <c r="C40" s="7" t="s">
        <v>89</v>
      </c>
      <c r="D40" s="8" t="s">
        <v>90</v>
      </c>
      <c r="E40" s="6" t="s">
        <v>15</v>
      </c>
      <c r="F40" s="9" t="s">
        <v>16</v>
      </c>
      <c r="G40" s="8"/>
    </row>
    <row r="41" spans="1:7" ht="25.5" customHeight="1" x14ac:dyDescent="0.2">
      <c r="A41" s="1" t="s">
        <v>59</v>
      </c>
      <c r="B41" s="6" t="s">
        <v>29</v>
      </c>
      <c r="C41" s="7" t="s">
        <v>91</v>
      </c>
      <c r="D41" s="8" t="s">
        <v>92</v>
      </c>
      <c r="E41" s="6" t="s">
        <v>15</v>
      </c>
      <c r="F41" s="9" t="s">
        <v>57</v>
      </c>
      <c r="G41" s="8"/>
    </row>
    <row r="42" spans="1:7" ht="25.5" customHeight="1" x14ac:dyDescent="0.2">
      <c r="A42" s="1" t="s">
        <v>59</v>
      </c>
      <c r="B42" s="6" t="s">
        <v>29</v>
      </c>
      <c r="C42" s="7" t="s">
        <v>93</v>
      </c>
      <c r="D42" s="8" t="s">
        <v>94</v>
      </c>
      <c r="E42" s="6" t="s">
        <v>15</v>
      </c>
      <c r="F42" s="9" t="s">
        <v>57</v>
      </c>
      <c r="G42" s="8"/>
    </row>
    <row r="43" spans="1:7" ht="15" customHeight="1" x14ac:dyDescent="0.2">
      <c r="A43" s="1" t="s">
        <v>59</v>
      </c>
      <c r="B43" s="13" t="s">
        <v>63</v>
      </c>
      <c r="C43" s="12" t="s">
        <v>95</v>
      </c>
      <c r="D43" s="13" t="s">
        <v>96</v>
      </c>
      <c r="E43" s="13" t="s">
        <v>15</v>
      </c>
      <c r="F43" s="14" t="s">
        <v>66</v>
      </c>
      <c r="G43" s="13"/>
    </row>
    <row r="44" spans="1:7" ht="15" customHeight="1" x14ac:dyDescent="0.2">
      <c r="A44" s="1" t="s">
        <v>59</v>
      </c>
      <c r="B44" s="6" t="s">
        <v>12</v>
      </c>
      <c r="C44" s="7" t="s">
        <v>97</v>
      </c>
      <c r="D44" s="8" t="s">
        <v>98</v>
      </c>
      <c r="E44" s="6" t="s">
        <v>15</v>
      </c>
      <c r="F44" s="9" t="s">
        <v>16</v>
      </c>
      <c r="G44" s="8"/>
    </row>
    <row r="45" spans="1:7" ht="21.75" customHeight="1" x14ac:dyDescent="0.2">
      <c r="A45" s="1" t="s">
        <v>59</v>
      </c>
      <c r="B45" s="6" t="s">
        <v>12</v>
      </c>
      <c r="C45" s="7" t="s">
        <v>99</v>
      </c>
      <c r="D45" s="8" t="s">
        <v>100</v>
      </c>
      <c r="E45" s="6" t="s">
        <v>15</v>
      </c>
      <c r="F45" s="9" t="s">
        <v>16</v>
      </c>
      <c r="G45" s="8"/>
    </row>
    <row r="46" spans="1:7" ht="21.75" customHeight="1" x14ac:dyDescent="0.2">
      <c r="A46" s="1" t="s">
        <v>59</v>
      </c>
      <c r="B46" s="6" t="s">
        <v>12</v>
      </c>
      <c r="C46" s="7" t="s">
        <v>101</v>
      </c>
      <c r="D46" s="8" t="s">
        <v>102</v>
      </c>
      <c r="E46" s="6" t="s">
        <v>15</v>
      </c>
      <c r="F46" s="9" t="s">
        <v>16</v>
      </c>
      <c r="G46" s="8"/>
    </row>
    <row r="47" spans="1:7" ht="21.75" customHeight="1" x14ac:dyDescent="0.2">
      <c r="A47" s="1" t="s">
        <v>59</v>
      </c>
      <c r="B47" s="6" t="s">
        <v>29</v>
      </c>
      <c r="C47" s="7" t="s">
        <v>103</v>
      </c>
      <c r="D47" s="8" t="s">
        <v>104</v>
      </c>
      <c r="E47" s="6" t="s">
        <v>15</v>
      </c>
      <c r="F47" s="9" t="s">
        <v>16</v>
      </c>
      <c r="G47" s="8"/>
    </row>
    <row r="48" spans="1:7" ht="15" customHeight="1" x14ac:dyDescent="0.2">
      <c r="A48" s="2" t="s">
        <v>105</v>
      </c>
      <c r="B48" s="15"/>
      <c r="C48" s="15"/>
      <c r="D48" s="15"/>
      <c r="E48" s="15"/>
      <c r="F48" s="15"/>
      <c r="G48" s="15"/>
    </row>
    <row r="49" spans="1:7" ht="15" customHeight="1" x14ac:dyDescent="0.2">
      <c r="A49" s="1" t="s">
        <v>11</v>
      </c>
      <c r="B49" s="13" t="s">
        <v>29</v>
      </c>
      <c r="C49" s="12" t="s">
        <v>106</v>
      </c>
      <c r="D49" s="13" t="s">
        <v>107</v>
      </c>
      <c r="E49" s="13" t="s">
        <v>15</v>
      </c>
      <c r="F49" s="14" t="s">
        <v>57</v>
      </c>
      <c r="G49" s="13" t="s">
        <v>108</v>
      </c>
    </row>
    <row r="50" spans="1:7" ht="25.5" customHeight="1" x14ac:dyDescent="0.2">
      <c r="A50" s="1" t="s">
        <v>11</v>
      </c>
      <c r="B50" s="6" t="s">
        <v>63</v>
      </c>
      <c r="C50" s="7" t="s">
        <v>109</v>
      </c>
      <c r="D50" s="8" t="s">
        <v>110</v>
      </c>
      <c r="E50" s="6" t="s">
        <v>15</v>
      </c>
      <c r="F50" s="9" t="s">
        <v>66</v>
      </c>
      <c r="G50" s="8" t="s">
        <v>111</v>
      </c>
    </row>
    <row r="51" spans="1:7" ht="15" customHeight="1" x14ac:dyDescent="0.2">
      <c r="A51" s="1" t="s">
        <v>11</v>
      </c>
      <c r="B51" s="6" t="s">
        <v>63</v>
      </c>
      <c r="C51" s="7" t="s">
        <v>112</v>
      </c>
      <c r="D51" s="8" t="s">
        <v>113</v>
      </c>
      <c r="E51" s="6" t="s">
        <v>15</v>
      </c>
      <c r="F51" s="9" t="s">
        <v>66</v>
      </c>
      <c r="G51" s="8" t="s">
        <v>114</v>
      </c>
    </row>
    <row r="52" spans="1:7" ht="15" customHeight="1" x14ac:dyDescent="0.2">
      <c r="A52" s="1" t="s">
        <v>59</v>
      </c>
      <c r="B52" s="6" t="s">
        <v>63</v>
      </c>
      <c r="C52" s="7" t="s">
        <v>115</v>
      </c>
      <c r="D52" s="8" t="s">
        <v>116</v>
      </c>
      <c r="E52" s="6" t="s">
        <v>15</v>
      </c>
      <c r="F52" s="9" t="s">
        <v>66</v>
      </c>
      <c r="G52" s="8"/>
    </row>
    <row r="53" spans="1:7" ht="25.5" customHeight="1" x14ac:dyDescent="0.2">
      <c r="A53" s="1" t="s">
        <v>59</v>
      </c>
      <c r="B53" s="6" t="s">
        <v>63</v>
      </c>
      <c r="C53" s="7" t="s">
        <v>117</v>
      </c>
      <c r="D53" s="8" t="s">
        <v>118</v>
      </c>
      <c r="E53" s="6" t="s">
        <v>15</v>
      </c>
      <c r="F53" s="9" t="s">
        <v>66</v>
      </c>
      <c r="G53" s="8"/>
    </row>
    <row r="54" spans="1:7" ht="15" customHeight="1" x14ac:dyDescent="0.2">
      <c r="A54" s="12" t="s">
        <v>59</v>
      </c>
      <c r="B54" s="13" t="s">
        <v>119</v>
      </c>
      <c r="C54" s="12" t="s">
        <v>120</v>
      </c>
      <c r="D54" s="13" t="s">
        <v>121</v>
      </c>
      <c r="E54" s="13" t="s">
        <v>15</v>
      </c>
      <c r="F54" s="14" t="s">
        <v>122</v>
      </c>
      <c r="G54" s="13" t="s">
        <v>123</v>
      </c>
    </row>
    <row r="55" spans="1:7" ht="21.75" customHeight="1" x14ac:dyDescent="0.2">
      <c r="A55" s="2" t="s">
        <v>124</v>
      </c>
      <c r="B55" s="15"/>
      <c r="C55" s="15"/>
      <c r="D55" s="15"/>
      <c r="E55" s="15"/>
      <c r="F55" s="15"/>
      <c r="G55" s="15"/>
    </row>
    <row r="56" spans="1:7" ht="15" customHeight="1" x14ac:dyDescent="0.2">
      <c r="A56" s="1" t="s">
        <v>59</v>
      </c>
      <c r="B56" s="6" t="s">
        <v>29</v>
      </c>
      <c r="C56" s="7" t="s">
        <v>125</v>
      </c>
      <c r="D56" s="8" t="s">
        <v>126</v>
      </c>
      <c r="E56" s="6" t="s">
        <v>15</v>
      </c>
      <c r="F56" s="9" t="s">
        <v>16</v>
      </c>
      <c r="G56" s="8"/>
    </row>
    <row r="57" spans="1:7" ht="21.75" customHeight="1" x14ac:dyDescent="0.2">
      <c r="A57" s="1" t="s">
        <v>59</v>
      </c>
      <c r="B57" s="6" t="s">
        <v>29</v>
      </c>
      <c r="C57" s="7" t="s">
        <v>127</v>
      </c>
      <c r="D57" s="8" t="s">
        <v>128</v>
      </c>
      <c r="E57" s="6" t="s">
        <v>15</v>
      </c>
      <c r="F57" s="9" t="s">
        <v>16</v>
      </c>
      <c r="G57" s="8"/>
    </row>
    <row r="58" spans="1:7" ht="21.75" customHeight="1" x14ac:dyDescent="0.2">
      <c r="A58" s="1" t="s">
        <v>59</v>
      </c>
      <c r="B58" s="6" t="s">
        <v>29</v>
      </c>
      <c r="C58" s="7" t="s">
        <v>129</v>
      </c>
      <c r="D58" s="8" t="s">
        <v>130</v>
      </c>
      <c r="E58" s="6" t="s">
        <v>15</v>
      </c>
      <c r="F58" s="9" t="s">
        <v>57</v>
      </c>
      <c r="G58" s="8"/>
    </row>
    <row r="59" spans="1:7" ht="15" customHeight="1" x14ac:dyDescent="0.2">
      <c r="A59" s="25" t="s">
        <v>59</v>
      </c>
      <c r="B59" s="25"/>
      <c r="C59" s="25"/>
      <c r="D59" s="25"/>
      <c r="E59" s="25"/>
      <c r="F59" s="25"/>
      <c r="G59" s="25"/>
    </row>
    <row r="60" spans="1:7" ht="15" customHeight="1" x14ac:dyDescent="0.2">
      <c r="A60" s="2" t="s">
        <v>131</v>
      </c>
      <c r="B60" s="15"/>
      <c r="C60" s="15"/>
      <c r="D60" s="15"/>
      <c r="E60" s="15"/>
      <c r="F60" s="15"/>
      <c r="G60" s="15"/>
    </row>
    <row r="61" spans="1:7" ht="15" customHeight="1" x14ac:dyDescent="0.2">
      <c r="A61" s="1" t="s">
        <v>59</v>
      </c>
      <c r="B61" s="6" t="s">
        <v>29</v>
      </c>
      <c r="C61" s="7" t="s">
        <v>132</v>
      </c>
      <c r="D61" s="8" t="s">
        <v>133</v>
      </c>
      <c r="E61" s="6" t="s">
        <v>15</v>
      </c>
      <c r="F61" s="9" t="s">
        <v>57</v>
      </c>
      <c r="G61" s="8"/>
    </row>
    <row r="62" spans="1:7" ht="15" customHeight="1" x14ac:dyDescent="0.2">
      <c r="A62" s="1" t="s">
        <v>59</v>
      </c>
      <c r="B62" s="6" t="s">
        <v>29</v>
      </c>
      <c r="C62" s="7" t="s">
        <v>134</v>
      </c>
      <c r="D62" s="8" t="s">
        <v>135</v>
      </c>
      <c r="E62" s="6" t="s">
        <v>15</v>
      </c>
      <c r="F62" s="9" t="s">
        <v>57</v>
      </c>
      <c r="G62" s="8"/>
    </row>
    <row r="63" spans="1:7" ht="15" customHeight="1" x14ac:dyDescent="0.2">
      <c r="A63" s="1" t="s">
        <v>59</v>
      </c>
      <c r="B63" s="6" t="s">
        <v>29</v>
      </c>
      <c r="C63" s="7" t="s">
        <v>136</v>
      </c>
      <c r="D63" s="8" t="s">
        <v>137</v>
      </c>
      <c r="E63" s="6" t="s">
        <v>15</v>
      </c>
      <c r="F63" s="9" t="s">
        <v>57</v>
      </c>
      <c r="G63" s="8"/>
    </row>
    <row r="64" spans="1:7" ht="15" customHeight="1" x14ac:dyDescent="0.2">
      <c r="A64" s="25" t="s">
        <v>59</v>
      </c>
      <c r="B64" s="25"/>
      <c r="C64" s="25"/>
      <c r="D64" s="25"/>
      <c r="E64" s="25"/>
      <c r="F64" s="25"/>
      <c r="G64" s="25"/>
    </row>
    <row r="65" spans="1:7" ht="25.5" customHeight="1" x14ac:dyDescent="0.2">
      <c r="A65" s="2" t="s">
        <v>138</v>
      </c>
      <c r="B65" s="15"/>
      <c r="C65" s="15"/>
      <c r="D65" s="15"/>
      <c r="E65" s="15"/>
      <c r="F65" s="15"/>
      <c r="G65" s="15"/>
    </row>
    <row r="66" spans="1:7" ht="25.5" customHeight="1" x14ac:dyDescent="0.2">
      <c r="A66" s="1" t="s">
        <v>59</v>
      </c>
      <c r="B66" s="6" t="s">
        <v>12</v>
      </c>
      <c r="C66" s="7" t="s">
        <v>139</v>
      </c>
      <c r="D66" s="8" t="s">
        <v>140</v>
      </c>
      <c r="E66" s="6" t="s">
        <v>15</v>
      </c>
      <c r="F66" s="9" t="s">
        <v>16</v>
      </c>
      <c r="G66" s="8"/>
    </row>
    <row r="67" spans="1:7" ht="15" customHeight="1" x14ac:dyDescent="0.2">
      <c r="A67" s="1" t="s">
        <v>59</v>
      </c>
      <c r="B67" s="6" t="s">
        <v>29</v>
      </c>
      <c r="C67" s="7" t="s">
        <v>141</v>
      </c>
      <c r="D67" s="8" t="s">
        <v>142</v>
      </c>
      <c r="E67" s="6" t="s">
        <v>15</v>
      </c>
      <c r="F67" s="9" t="s">
        <v>16</v>
      </c>
      <c r="G67" s="8"/>
    </row>
    <row r="68" spans="1:7" ht="15" customHeight="1" x14ac:dyDescent="0.2">
      <c r="A68" s="1" t="s">
        <v>59</v>
      </c>
      <c r="B68" s="6" t="s">
        <v>29</v>
      </c>
      <c r="C68" s="7" t="s">
        <v>143</v>
      </c>
      <c r="D68" s="8" t="s">
        <v>144</v>
      </c>
      <c r="E68" s="6" t="s">
        <v>15</v>
      </c>
      <c r="F68" s="9" t="s">
        <v>16</v>
      </c>
      <c r="G68" s="8"/>
    </row>
    <row r="69" spans="1:7" ht="15" customHeight="1" x14ac:dyDescent="0.2">
      <c r="A69" s="1" t="s">
        <v>59</v>
      </c>
      <c r="B69" s="6" t="s">
        <v>63</v>
      </c>
      <c r="C69" s="7" t="s">
        <v>145</v>
      </c>
      <c r="D69" s="8" t="s">
        <v>146</v>
      </c>
      <c r="E69" s="6" t="s">
        <v>15</v>
      </c>
      <c r="F69" s="9" t="s">
        <v>57</v>
      </c>
      <c r="G69" s="8"/>
    </row>
    <row r="70" spans="1:7" ht="21.75" customHeight="1" x14ac:dyDescent="0.2">
      <c r="A70" s="2" t="s">
        <v>147</v>
      </c>
      <c r="B70" s="15"/>
      <c r="C70" s="15"/>
      <c r="D70" s="15"/>
      <c r="E70" s="15"/>
      <c r="F70" s="15"/>
      <c r="G70" s="15"/>
    </row>
    <row r="71" spans="1:7" ht="15" customHeight="1" x14ac:dyDescent="0.2">
      <c r="A71" s="1" t="s">
        <v>59</v>
      </c>
      <c r="B71" s="6" t="s">
        <v>12</v>
      </c>
      <c r="C71" s="7" t="s">
        <v>148</v>
      </c>
      <c r="D71" s="8" t="s">
        <v>149</v>
      </c>
      <c r="E71" s="6" t="s">
        <v>15</v>
      </c>
      <c r="F71" s="9" t="s">
        <v>16</v>
      </c>
      <c r="G71" s="8" t="s">
        <v>150</v>
      </c>
    </row>
    <row r="72" spans="1:7" ht="25.5" customHeight="1" x14ac:dyDescent="0.2">
      <c r="A72" s="12" t="s">
        <v>59</v>
      </c>
      <c r="B72" s="13" t="s">
        <v>63</v>
      </c>
      <c r="C72" s="12" t="s">
        <v>151</v>
      </c>
      <c r="D72" s="13" t="s">
        <v>152</v>
      </c>
      <c r="E72" s="13" t="s">
        <v>15</v>
      </c>
      <c r="F72" s="14" t="s">
        <v>66</v>
      </c>
      <c r="G72" s="13" t="s">
        <v>153</v>
      </c>
    </row>
    <row r="73" spans="1:7" ht="15" customHeight="1" x14ac:dyDescent="0.2">
      <c r="A73" s="1" t="s">
        <v>59</v>
      </c>
      <c r="B73" s="6" t="s">
        <v>12</v>
      </c>
      <c r="C73" s="7" t="s">
        <v>154</v>
      </c>
      <c r="D73" s="8" t="s">
        <v>155</v>
      </c>
      <c r="E73" s="6" t="s">
        <v>15</v>
      </c>
      <c r="F73" s="9" t="s">
        <v>16</v>
      </c>
      <c r="G73" s="8"/>
    </row>
    <row r="74" spans="1:7" ht="21.75" customHeight="1" x14ac:dyDescent="0.2">
      <c r="A74" s="1" t="s">
        <v>59</v>
      </c>
      <c r="B74" s="6" t="s">
        <v>12</v>
      </c>
      <c r="C74" s="7" t="s">
        <v>156</v>
      </c>
      <c r="D74" s="8" t="s">
        <v>157</v>
      </c>
      <c r="E74" s="6" t="s">
        <v>15</v>
      </c>
      <c r="F74" s="9" t="s">
        <v>16</v>
      </c>
      <c r="G74" s="8"/>
    </row>
    <row r="75" spans="1:7" ht="15" customHeight="1" x14ac:dyDescent="0.2">
      <c r="A75" s="1" t="s">
        <v>59</v>
      </c>
      <c r="B75" s="6" t="s">
        <v>12</v>
      </c>
      <c r="C75" s="7" t="s">
        <v>158</v>
      </c>
      <c r="D75" s="8" t="s">
        <v>159</v>
      </c>
      <c r="E75" s="6" t="s">
        <v>15</v>
      </c>
      <c r="F75" s="9" t="s">
        <v>16</v>
      </c>
      <c r="G75" s="8"/>
    </row>
    <row r="76" spans="1:7" ht="15" customHeight="1" x14ac:dyDescent="0.2">
      <c r="A76" s="1" t="s">
        <v>59</v>
      </c>
      <c r="B76" s="13" t="s">
        <v>29</v>
      </c>
      <c r="C76" s="12" t="s">
        <v>160</v>
      </c>
      <c r="D76" s="13" t="s">
        <v>161</v>
      </c>
      <c r="E76" s="13" t="s">
        <v>15</v>
      </c>
      <c r="F76" s="16" t="s">
        <v>16</v>
      </c>
      <c r="G76" s="13"/>
    </row>
    <row r="77" spans="1:7" ht="15" customHeight="1" x14ac:dyDescent="0.2">
      <c r="A77" s="1" t="s">
        <v>59</v>
      </c>
      <c r="B77" s="6" t="s">
        <v>29</v>
      </c>
      <c r="C77" s="7" t="s">
        <v>162</v>
      </c>
      <c r="D77" s="8" t="s">
        <v>163</v>
      </c>
      <c r="E77" s="6" t="s">
        <v>15</v>
      </c>
      <c r="F77" s="9" t="s">
        <v>16</v>
      </c>
      <c r="G77" s="8"/>
    </row>
    <row r="78" spans="1:7" ht="21.75" customHeight="1" x14ac:dyDescent="0.2">
      <c r="A78" s="1" t="s">
        <v>59</v>
      </c>
      <c r="B78" s="6" t="s">
        <v>29</v>
      </c>
      <c r="C78" s="7" t="s">
        <v>164</v>
      </c>
      <c r="D78" s="8" t="s">
        <v>165</v>
      </c>
      <c r="E78" s="6" t="s">
        <v>15</v>
      </c>
      <c r="F78" s="9" t="s">
        <v>57</v>
      </c>
      <c r="G78" s="8"/>
    </row>
    <row r="79" spans="1:7" ht="25.5" customHeight="1" x14ac:dyDescent="0.2">
      <c r="A79" s="1" t="s">
        <v>59</v>
      </c>
      <c r="B79" s="6" t="s">
        <v>29</v>
      </c>
      <c r="C79" s="7" t="s">
        <v>166</v>
      </c>
      <c r="D79" s="8" t="s">
        <v>167</v>
      </c>
      <c r="E79" s="6" t="s">
        <v>15</v>
      </c>
      <c r="F79" s="9" t="s">
        <v>57</v>
      </c>
      <c r="G79" s="8"/>
    </row>
    <row r="80" spans="1:7" ht="25.5" customHeight="1" x14ac:dyDescent="0.2">
      <c r="A80" s="1" t="s">
        <v>59</v>
      </c>
      <c r="B80" s="6" t="s">
        <v>63</v>
      </c>
      <c r="C80" s="7" t="s">
        <v>168</v>
      </c>
      <c r="D80" s="8" t="s">
        <v>169</v>
      </c>
      <c r="E80" s="6" t="s">
        <v>15</v>
      </c>
      <c r="F80" s="9" t="s">
        <v>57</v>
      </c>
      <c r="G80" s="8"/>
    </row>
    <row r="81" spans="1:7" ht="15" customHeight="1" x14ac:dyDescent="0.2">
      <c r="A81" s="1" t="s">
        <v>59</v>
      </c>
      <c r="B81" s="6" t="s">
        <v>63</v>
      </c>
      <c r="C81" s="7" t="s">
        <v>170</v>
      </c>
      <c r="D81" s="8" t="s">
        <v>171</v>
      </c>
      <c r="E81" s="6" t="s">
        <v>15</v>
      </c>
      <c r="F81" s="9" t="s">
        <v>57</v>
      </c>
      <c r="G81" s="8"/>
    </row>
    <row r="82" spans="1:7" ht="15" customHeight="1" x14ac:dyDescent="0.2">
      <c r="A82" s="2" t="s">
        <v>172</v>
      </c>
      <c r="B82" s="15"/>
      <c r="C82" s="15"/>
      <c r="D82" s="15"/>
      <c r="E82" s="15"/>
      <c r="F82" s="15"/>
      <c r="G82" s="15"/>
    </row>
    <row r="83" spans="1:7" ht="15" customHeight="1" x14ac:dyDescent="0.2">
      <c r="A83" s="1" t="s">
        <v>59</v>
      </c>
      <c r="B83" s="6" t="s">
        <v>29</v>
      </c>
      <c r="C83" s="7" t="s">
        <v>173</v>
      </c>
      <c r="D83" s="8" t="s">
        <v>174</v>
      </c>
      <c r="E83" s="6" t="s">
        <v>15</v>
      </c>
      <c r="F83" s="9" t="s">
        <v>57</v>
      </c>
      <c r="G83" s="8"/>
    </row>
    <row r="84" spans="1:7" ht="21.75" customHeight="1" x14ac:dyDescent="0.2">
      <c r="A84" s="1" t="s">
        <v>59</v>
      </c>
      <c r="B84" s="6" t="s">
        <v>29</v>
      </c>
      <c r="C84" s="7" t="s">
        <v>175</v>
      </c>
      <c r="D84" s="8" t="s">
        <v>176</v>
      </c>
      <c r="E84" s="6" t="s">
        <v>15</v>
      </c>
      <c r="F84" s="9" t="s">
        <v>57</v>
      </c>
      <c r="G84" s="8"/>
    </row>
    <row r="85" spans="1:7" ht="21.75" customHeight="1" x14ac:dyDescent="0.2">
      <c r="A85" s="1" t="s">
        <v>59</v>
      </c>
      <c r="B85" s="6" t="s">
        <v>63</v>
      </c>
      <c r="C85" s="7" t="s">
        <v>177</v>
      </c>
      <c r="D85" s="8" t="s">
        <v>178</v>
      </c>
      <c r="E85" s="6" t="s">
        <v>15</v>
      </c>
      <c r="F85" s="9" t="s">
        <v>16</v>
      </c>
      <c r="G85" s="8"/>
    </row>
    <row r="86" spans="1:7" ht="21.75" customHeight="1" x14ac:dyDescent="0.2">
      <c r="A86" s="1" t="s">
        <v>59</v>
      </c>
      <c r="B86" s="6" t="s">
        <v>63</v>
      </c>
      <c r="C86" s="7" t="s">
        <v>179</v>
      </c>
      <c r="D86" s="8" t="s">
        <v>180</v>
      </c>
      <c r="E86" s="6" t="s">
        <v>15</v>
      </c>
      <c r="F86" s="9" t="s">
        <v>66</v>
      </c>
      <c r="G86" s="8"/>
    </row>
    <row r="87" spans="1:7" ht="15" customHeight="1" x14ac:dyDescent="0.2">
      <c r="A87" s="1" t="s">
        <v>59</v>
      </c>
      <c r="B87" s="6" t="s">
        <v>119</v>
      </c>
      <c r="C87" s="7" t="s">
        <v>181</v>
      </c>
      <c r="D87" s="8" t="s">
        <v>182</v>
      </c>
      <c r="E87" s="6" t="s">
        <v>15</v>
      </c>
      <c r="F87" s="9" t="s">
        <v>66</v>
      </c>
      <c r="G87" s="8"/>
    </row>
    <row r="88" spans="1:7" ht="15" customHeight="1" x14ac:dyDescent="0.2">
      <c r="A88" s="17"/>
      <c r="B88" s="17"/>
      <c r="C88" s="17"/>
      <c r="D88" s="17"/>
      <c r="E88" s="17"/>
      <c r="F88" s="17"/>
      <c r="G88" s="17"/>
    </row>
    <row r="89" spans="1:7" ht="15" customHeight="1" x14ac:dyDescent="0.2">
      <c r="A89" s="17"/>
      <c r="B89" s="17"/>
      <c r="C89" s="17"/>
      <c r="D89" s="17"/>
      <c r="E89" s="17"/>
      <c r="F89" s="17"/>
      <c r="G89" s="17"/>
    </row>
    <row r="90" spans="1:7" ht="15" customHeight="1" x14ac:dyDescent="0.2">
      <c r="A90" s="17"/>
      <c r="B90" s="17"/>
      <c r="C90" s="17"/>
      <c r="D90" s="17"/>
      <c r="E90" s="17"/>
      <c r="F90" s="17"/>
      <c r="G90" s="17"/>
    </row>
    <row r="91" spans="1:7" ht="15" customHeight="1" x14ac:dyDescent="0.2">
      <c r="A91" s="17"/>
      <c r="B91" s="17"/>
      <c r="C91" s="17"/>
      <c r="D91" s="17"/>
      <c r="E91" s="17"/>
      <c r="F91" s="17"/>
      <c r="G91" s="17"/>
    </row>
    <row r="92" spans="1:7" ht="15" customHeight="1" x14ac:dyDescent="0.2">
      <c r="A92" s="17"/>
      <c r="B92" s="17"/>
      <c r="C92" s="17"/>
      <c r="D92" s="17"/>
      <c r="E92" s="17"/>
      <c r="F92" s="17"/>
      <c r="G92" s="17"/>
    </row>
    <row r="93" spans="1:7" ht="15" customHeight="1" x14ac:dyDescent="0.2">
      <c r="A93" s="17"/>
      <c r="B93" s="17"/>
      <c r="C93" s="17"/>
      <c r="D93" s="17"/>
      <c r="E93" s="17"/>
      <c r="F93" s="17"/>
      <c r="G93" s="17"/>
    </row>
    <row r="94" spans="1:7" ht="15" customHeight="1" x14ac:dyDescent="0.2">
      <c r="A94" s="17"/>
      <c r="B94" s="17"/>
      <c r="C94" s="17"/>
      <c r="D94" s="17"/>
      <c r="E94" s="17"/>
      <c r="F94" s="17"/>
      <c r="G94" s="17"/>
    </row>
    <row r="95" spans="1:7" ht="15" customHeight="1" x14ac:dyDescent="0.2">
      <c r="A95" s="17"/>
      <c r="B95" s="17"/>
      <c r="C95" s="17"/>
      <c r="D95" s="17"/>
      <c r="E95" s="17"/>
      <c r="F95" s="17"/>
      <c r="G95" s="17"/>
    </row>
    <row r="96" spans="1:7" ht="15" customHeight="1" x14ac:dyDescent="0.2">
      <c r="A96" s="17"/>
      <c r="B96" s="17"/>
      <c r="C96" s="17"/>
      <c r="D96" s="17"/>
      <c r="E96" s="17"/>
      <c r="F96" s="17"/>
      <c r="G96" s="17"/>
    </row>
    <row r="97" spans="1:7" ht="15" customHeight="1" x14ac:dyDescent="0.2">
      <c r="A97" s="17"/>
      <c r="B97" s="17"/>
      <c r="C97" s="17"/>
      <c r="D97" s="17"/>
      <c r="E97" s="17"/>
      <c r="F97" s="17"/>
      <c r="G97" s="17"/>
    </row>
    <row r="98" spans="1:7" ht="15" customHeight="1" x14ac:dyDescent="0.2">
      <c r="A98" s="17"/>
      <c r="B98" s="17"/>
      <c r="C98" s="17"/>
      <c r="D98" s="17"/>
      <c r="E98" s="17"/>
      <c r="F98" s="17"/>
      <c r="G98" s="17"/>
    </row>
    <row r="99" spans="1:7" ht="15" customHeight="1" x14ac:dyDescent="0.2">
      <c r="A99" s="17"/>
      <c r="B99" s="17"/>
      <c r="C99" s="17"/>
      <c r="D99" s="17"/>
      <c r="E99" s="17"/>
      <c r="F99" s="17"/>
      <c r="G99" s="17"/>
    </row>
    <row r="100" spans="1:7" ht="15" customHeight="1" x14ac:dyDescent="0.2">
      <c r="A100" s="17"/>
      <c r="B100" s="17"/>
      <c r="C100" s="17"/>
      <c r="D100" s="17"/>
      <c r="E100" s="17"/>
      <c r="F100" s="17"/>
      <c r="G100" s="17"/>
    </row>
    <row r="101" spans="1:7" ht="15" customHeight="1" x14ac:dyDescent="0.2">
      <c r="A101" s="17"/>
      <c r="B101" s="17"/>
      <c r="C101" s="17"/>
      <c r="D101" s="17"/>
      <c r="E101" s="17"/>
      <c r="F101" s="17"/>
      <c r="G101" s="17"/>
    </row>
    <row r="102" spans="1:7" ht="15" customHeight="1" x14ac:dyDescent="0.2">
      <c r="A102" s="17"/>
      <c r="B102" s="17"/>
      <c r="C102" s="17"/>
      <c r="D102" s="17"/>
      <c r="E102" s="17"/>
      <c r="F102" s="17"/>
      <c r="G102" s="17"/>
    </row>
    <row r="103" spans="1:7" ht="15" customHeight="1" x14ac:dyDescent="0.2">
      <c r="A103" s="17"/>
      <c r="B103" s="17"/>
      <c r="C103" s="17"/>
      <c r="D103" s="17"/>
      <c r="E103" s="17"/>
      <c r="F103" s="17"/>
      <c r="G103" s="17"/>
    </row>
    <row r="104" spans="1:7" ht="15" customHeight="1" x14ac:dyDescent="0.2">
      <c r="A104" s="17"/>
      <c r="B104" s="17"/>
      <c r="C104" s="17"/>
      <c r="D104" s="17"/>
      <c r="E104" s="17"/>
      <c r="F104" s="17"/>
      <c r="G104" s="17"/>
    </row>
    <row r="105" spans="1:7" ht="15" customHeight="1" x14ac:dyDescent="0.2">
      <c r="A105" s="17"/>
      <c r="B105" s="17"/>
      <c r="C105" s="17"/>
      <c r="D105" s="17"/>
      <c r="E105" s="17"/>
      <c r="F105" s="17"/>
      <c r="G105" s="17"/>
    </row>
    <row r="106" spans="1:7" ht="15" customHeight="1" x14ac:dyDescent="0.2">
      <c r="A106" s="17"/>
      <c r="B106" s="17"/>
      <c r="C106" s="17"/>
      <c r="D106" s="17"/>
      <c r="E106" s="17"/>
      <c r="F106" s="17"/>
      <c r="G106" s="17"/>
    </row>
    <row r="107" spans="1:7" ht="15" customHeight="1" x14ac:dyDescent="0.2">
      <c r="A107" s="17"/>
      <c r="B107" s="17"/>
      <c r="C107" s="17"/>
      <c r="D107" s="17"/>
      <c r="E107" s="17"/>
      <c r="F107" s="17"/>
      <c r="G107" s="17"/>
    </row>
    <row r="108" spans="1:7" ht="15" customHeight="1" x14ac:dyDescent="0.2">
      <c r="A108" s="17"/>
      <c r="B108" s="17"/>
      <c r="C108" s="17"/>
      <c r="D108" s="17"/>
      <c r="E108" s="17"/>
      <c r="F108" s="17"/>
      <c r="G108" s="17"/>
    </row>
    <row r="109" spans="1:7" ht="15" customHeight="1" x14ac:dyDescent="0.2">
      <c r="A109" s="17"/>
      <c r="B109" s="17"/>
      <c r="C109" s="17"/>
      <c r="D109" s="17"/>
      <c r="E109" s="17"/>
      <c r="F109" s="17"/>
      <c r="G109" s="17"/>
    </row>
    <row r="110" spans="1:7" ht="15" customHeight="1" x14ac:dyDescent="0.2">
      <c r="A110" s="17"/>
      <c r="B110" s="17"/>
      <c r="C110" s="17"/>
      <c r="D110" s="17"/>
      <c r="E110" s="17"/>
      <c r="F110" s="17"/>
      <c r="G110" s="17"/>
    </row>
    <row r="111" spans="1:7" ht="15" customHeight="1" x14ac:dyDescent="0.2">
      <c r="A111" s="17"/>
      <c r="B111" s="17"/>
      <c r="C111" s="17"/>
      <c r="D111" s="17"/>
      <c r="E111" s="17"/>
      <c r="F111" s="17"/>
      <c r="G111" s="17"/>
    </row>
    <row r="112" spans="1:7" ht="15" customHeight="1" x14ac:dyDescent="0.2">
      <c r="A112" s="17"/>
      <c r="B112" s="17"/>
      <c r="C112" s="17"/>
      <c r="D112" s="17"/>
      <c r="E112" s="17"/>
      <c r="F112" s="17"/>
      <c r="G112" s="17"/>
    </row>
    <row r="113" spans="1:7" ht="15" customHeight="1" x14ac:dyDescent="0.2">
      <c r="A113" s="17"/>
      <c r="B113" s="17"/>
      <c r="C113" s="17"/>
      <c r="D113" s="17"/>
      <c r="E113" s="17"/>
      <c r="F113" s="17"/>
      <c r="G113" s="17"/>
    </row>
    <row r="114" spans="1:7" ht="15" customHeight="1" x14ac:dyDescent="0.2">
      <c r="A114" s="17"/>
      <c r="B114" s="17"/>
      <c r="C114" s="17"/>
      <c r="D114" s="17"/>
      <c r="E114" s="17"/>
      <c r="F114" s="17"/>
      <c r="G114" s="17"/>
    </row>
    <row r="115" spans="1:7" ht="15" customHeight="1" x14ac:dyDescent="0.2">
      <c r="A115" s="17"/>
      <c r="B115" s="17"/>
      <c r="C115" s="17"/>
      <c r="D115" s="17"/>
      <c r="E115" s="17"/>
      <c r="F115" s="17"/>
      <c r="G115" s="17"/>
    </row>
    <row r="116" spans="1:7" ht="15" customHeight="1" x14ac:dyDescent="0.2">
      <c r="A116" s="17"/>
      <c r="B116" s="17"/>
      <c r="C116" s="17"/>
      <c r="D116" s="17"/>
      <c r="E116" s="17"/>
      <c r="F116" s="17"/>
      <c r="G116" s="17"/>
    </row>
    <row r="117" spans="1:7" ht="15" customHeight="1" x14ac:dyDescent="0.2">
      <c r="A117" s="17"/>
      <c r="B117" s="17"/>
      <c r="C117" s="17"/>
      <c r="D117" s="17"/>
      <c r="E117" s="17"/>
      <c r="F117" s="17"/>
      <c r="G117" s="17"/>
    </row>
    <row r="118" spans="1:7" ht="15" customHeight="1" x14ac:dyDescent="0.2">
      <c r="A118" s="17"/>
      <c r="B118" s="17"/>
      <c r="C118" s="17"/>
      <c r="D118" s="17"/>
      <c r="E118" s="17"/>
      <c r="F118" s="17"/>
      <c r="G118" s="17"/>
    </row>
    <row r="119" spans="1:7" ht="15" customHeight="1" x14ac:dyDescent="0.2">
      <c r="A119" s="17"/>
      <c r="B119" s="17"/>
      <c r="C119" s="17"/>
      <c r="D119" s="17"/>
      <c r="E119" s="17"/>
      <c r="F119" s="17"/>
      <c r="G119" s="17"/>
    </row>
    <row r="120" spans="1:7" ht="15" customHeight="1" x14ac:dyDescent="0.2">
      <c r="A120" s="17"/>
      <c r="B120" s="17"/>
      <c r="C120" s="17"/>
      <c r="D120" s="17"/>
      <c r="E120" s="17"/>
      <c r="F120" s="17"/>
      <c r="G120" s="17"/>
    </row>
    <row r="121" spans="1:7" ht="15" customHeight="1" x14ac:dyDescent="0.2">
      <c r="A121" s="17"/>
      <c r="B121" s="17"/>
      <c r="C121" s="17"/>
      <c r="D121" s="17"/>
      <c r="E121" s="17"/>
      <c r="F121" s="17"/>
      <c r="G121" s="17"/>
    </row>
    <row r="122" spans="1:7" ht="15" customHeight="1" x14ac:dyDescent="0.2">
      <c r="A122" s="17"/>
      <c r="B122" s="17"/>
      <c r="C122" s="17"/>
      <c r="D122" s="17"/>
      <c r="E122" s="17"/>
      <c r="F122" s="17"/>
      <c r="G122" s="17"/>
    </row>
    <row r="123" spans="1:7" ht="15" customHeight="1" x14ac:dyDescent="0.2">
      <c r="A123" s="17"/>
      <c r="B123" s="17"/>
      <c r="C123" s="17"/>
      <c r="D123" s="17"/>
      <c r="E123" s="17"/>
      <c r="F123" s="17"/>
      <c r="G123" s="17"/>
    </row>
    <row r="124" spans="1:7" ht="15" customHeight="1" x14ac:dyDescent="0.2">
      <c r="A124" s="17"/>
      <c r="B124" s="17"/>
      <c r="C124" s="17"/>
      <c r="D124" s="17"/>
      <c r="E124" s="17"/>
      <c r="F124" s="17"/>
      <c r="G124" s="17"/>
    </row>
    <row r="125" spans="1:7" ht="15" customHeight="1" x14ac:dyDescent="0.2">
      <c r="A125" s="17"/>
      <c r="B125" s="17"/>
      <c r="C125" s="17"/>
      <c r="D125" s="17"/>
      <c r="E125" s="17"/>
      <c r="F125" s="17"/>
      <c r="G125" s="17"/>
    </row>
    <row r="126" spans="1:7" x14ac:dyDescent="0.2">
      <c r="A126" s="17"/>
      <c r="B126" s="17"/>
      <c r="C126" s="17"/>
      <c r="D126" s="17"/>
      <c r="E126" s="17"/>
      <c r="F126" s="17"/>
      <c r="G126" s="17"/>
    </row>
  </sheetData>
  <autoFilter ref="A4:G80" xr:uid="{00000000-0009-0000-0000-000000000000}"/>
  <mergeCells count="9">
    <mergeCell ref="A18:G18"/>
    <mergeCell ref="A24:G24"/>
    <mergeCell ref="A59:G59"/>
    <mergeCell ref="A64:G64"/>
    <mergeCell ref="A1:G1"/>
    <mergeCell ref="A2:G2"/>
    <mergeCell ref="A3:B3"/>
    <mergeCell ref="A5:G5"/>
    <mergeCell ref="A10:G10"/>
  </mergeCells>
  <dataValidations count="2">
    <dataValidation type="list" allowBlank="1" error="Choisir: ✅ ⬜ ⏳ ❌" prompt="✅=Fait ⬜=À faire ⏳=En cours ❌=Bloqué" sqref="A6:A9 A11:A17 A19:A23 A25:A33 A35:A42 A44:A48 A50:A53 A55:A58 A60:A63 A65:A74 A76:A80" xr:uid="{00000000-0002-0000-0000-000000000000}">
      <formula1>"✅,⬜,⏳,❌"</formula1>
      <formula2>0</formula2>
    </dataValidation>
    <dataValidation type="list" allowBlank="1" sqref="B6:B9 B11:B17 B19:B23 B25:B29 B31:B33 B35:B42 B44:B48 B50:B53 B55:B58 B60:B63 B65:B74 B76:B80" xr:uid="{00000000-0002-0000-0000-000001000000}">
      <formula1>"🔴 Critique,🟠 Important,🟡 Moyen,🟢 Optionnel"</formula1>
      <formula2>0</formula2>
    </dataValidation>
  </dataValidations>
  <hyperlinks>
    <hyperlink ref="D17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C55E"/>
  </sheetPr>
  <dimension ref="A1:E19"/>
  <sheetViews>
    <sheetView zoomScale="185" zoomScaleNormal="185" workbookViewId="0"/>
  </sheetViews>
  <sheetFormatPr baseColWidth="10" defaultColWidth="8.6640625" defaultRowHeight="15" customHeight="1" x14ac:dyDescent="0.2"/>
  <cols>
    <col min="1" max="1" width="30" customWidth="1"/>
    <col min="2" max="5" width="15" customWidth="1"/>
  </cols>
  <sheetData>
    <row r="1" spans="1:5" ht="18" customHeight="1" x14ac:dyDescent="0.2">
      <c r="A1" s="26" t="s">
        <v>183</v>
      </c>
      <c r="B1" s="26"/>
      <c r="C1" s="26"/>
      <c r="D1" s="26"/>
      <c r="E1" s="26"/>
    </row>
    <row r="2" spans="1:5" ht="15" customHeight="1" x14ac:dyDescent="0.2">
      <c r="A2" s="18" t="s">
        <v>184</v>
      </c>
      <c r="B2" s="18" t="s">
        <v>185</v>
      </c>
      <c r="C2" s="18" t="s">
        <v>186</v>
      </c>
      <c r="D2" s="18" t="s">
        <v>187</v>
      </c>
      <c r="E2" s="18" t="s">
        <v>188</v>
      </c>
    </row>
    <row r="3" spans="1:5" ht="15" customHeight="1" x14ac:dyDescent="0.2">
      <c r="A3" s="19" t="s">
        <v>189</v>
      </c>
      <c r="B3" s="20">
        <f>COUNTIF('Checklist Production'!A6:A9,"✅")</f>
        <v>4</v>
      </c>
      <c r="C3" s="1">
        <f>COUNTIF('Checklist Production'!A6:A9,"⬜")</f>
        <v>0</v>
      </c>
      <c r="D3" s="9">
        <f>COUNTIF('Checklist Production'!A6:A9,"⏳")</f>
        <v>0</v>
      </c>
      <c r="E3" s="21">
        <f>COUNTIF('Checklist Production'!A6:A9,"❌")</f>
        <v>0</v>
      </c>
    </row>
    <row r="4" spans="1:5" ht="15" customHeight="1" x14ac:dyDescent="0.2">
      <c r="A4" s="19" t="s">
        <v>190</v>
      </c>
      <c r="B4" s="20">
        <f>COUNTIF('Checklist Production'!A11:A17,"✅")</f>
        <v>7</v>
      </c>
      <c r="C4" s="1">
        <f>COUNTIF('Checklist Production'!A11:A17,"⬜")</f>
        <v>0</v>
      </c>
      <c r="D4" s="9">
        <f>COUNTIF('Checklist Production'!A11:A17,"⏳")</f>
        <v>0</v>
      </c>
      <c r="E4" s="21">
        <f>COUNTIF('Checklist Production'!A11:A17,"❌")</f>
        <v>0</v>
      </c>
    </row>
    <row r="5" spans="1:5" ht="15" customHeight="1" x14ac:dyDescent="0.2">
      <c r="A5" s="19" t="s">
        <v>191</v>
      </c>
      <c r="B5" s="20">
        <f>COUNTIF('Checklist Production'!A19:A23,"✅")</f>
        <v>4</v>
      </c>
      <c r="C5" s="1">
        <f>COUNTIF('Checklist Production'!A19:A23,"⬜")</f>
        <v>0</v>
      </c>
      <c r="D5" s="9">
        <f>COUNTIF('Checklist Production'!A19:A23,"⏳")</f>
        <v>0</v>
      </c>
      <c r="E5" s="21">
        <f>COUNTIF('Checklist Production'!A19:A23,"❌")</f>
        <v>1</v>
      </c>
    </row>
    <row r="6" spans="1:5" ht="15" customHeight="1" x14ac:dyDescent="0.2">
      <c r="A6" s="19" t="s">
        <v>192</v>
      </c>
      <c r="B6" s="20">
        <f>COUNTIF('Checklist Production'!A25:A29,"✅")</f>
        <v>3</v>
      </c>
      <c r="C6" s="1">
        <f>COUNTIF('Checklist Production'!A25:A29,"⬜")</f>
        <v>1</v>
      </c>
      <c r="D6" s="9">
        <f>COUNTIF('Checklist Production'!A25:A29,"⏳")</f>
        <v>0</v>
      </c>
      <c r="E6" s="21">
        <f>COUNTIF('Checklist Production'!A25:A29,"❌")</f>
        <v>1</v>
      </c>
    </row>
    <row r="7" spans="1:5" ht="15" customHeight="1" x14ac:dyDescent="0.2">
      <c r="A7" s="19" t="s">
        <v>193</v>
      </c>
      <c r="B7" s="20">
        <f>COUNTIF('Checklist Production'!A31:A33,"✅")</f>
        <v>0</v>
      </c>
      <c r="C7" s="1">
        <f>COUNTIF('Checklist Production'!A31:A33,"⬜")</f>
        <v>3</v>
      </c>
      <c r="D7" s="9">
        <f>COUNTIF('Checklist Production'!A31:A33,"⏳")</f>
        <v>0</v>
      </c>
      <c r="E7" s="21">
        <f>COUNTIF('Checklist Production'!A31:A33,"❌")</f>
        <v>0</v>
      </c>
    </row>
    <row r="8" spans="1:5" ht="15" customHeight="1" x14ac:dyDescent="0.2">
      <c r="A8" s="19" t="s">
        <v>194</v>
      </c>
      <c r="B8" s="20">
        <f>COUNTIF('Checklist Production'!A35:A42,"✅")</f>
        <v>3</v>
      </c>
      <c r="C8" s="1">
        <f>COUNTIF('Checklist Production'!A35:A42,"⬜")</f>
        <v>3</v>
      </c>
      <c r="D8" s="9">
        <f>COUNTIF('Checklist Production'!A35:A42,"⏳")</f>
        <v>0</v>
      </c>
      <c r="E8" s="21">
        <f>COUNTIF('Checklist Production'!A35:A42,"❌")</f>
        <v>0</v>
      </c>
    </row>
    <row r="9" spans="1:5" ht="15" customHeight="1" x14ac:dyDescent="0.2">
      <c r="A9" s="19" t="s">
        <v>195</v>
      </c>
      <c r="B9" s="20">
        <f>COUNTIF('Checklist Production'!A44:A48,"✅")</f>
        <v>0</v>
      </c>
      <c r="C9" s="1">
        <f>COUNTIF('Checklist Production'!A44:A48,"⬜")</f>
        <v>4</v>
      </c>
      <c r="D9" s="9">
        <f>COUNTIF('Checklist Production'!A44:A48,"⏳")</f>
        <v>0</v>
      </c>
      <c r="E9" s="21">
        <f>COUNTIF('Checklist Production'!A44:A48,"❌")</f>
        <v>0</v>
      </c>
    </row>
    <row r="10" spans="1:5" ht="15" customHeight="1" x14ac:dyDescent="0.2">
      <c r="A10" s="19" t="s">
        <v>196</v>
      </c>
      <c r="B10" s="20">
        <f>COUNTIF('Checklist Production'!A50:A53,"✅")</f>
        <v>2</v>
      </c>
      <c r="C10" s="1">
        <f>COUNTIF('Checklist Production'!A50:A53,"⬜")</f>
        <v>2</v>
      </c>
      <c r="D10" s="9">
        <f>COUNTIF('Checklist Production'!A50:A53,"⏳")</f>
        <v>0</v>
      </c>
      <c r="E10" s="21">
        <f>COUNTIF('Checklist Production'!A50:A53,"❌")</f>
        <v>0</v>
      </c>
    </row>
    <row r="11" spans="1:5" ht="15" customHeight="1" x14ac:dyDescent="0.2">
      <c r="A11" s="19" t="s">
        <v>197</v>
      </c>
      <c r="B11" s="20">
        <f>COUNTIF('Checklist Production'!A55:A58,"✅")</f>
        <v>0</v>
      </c>
      <c r="C11" s="1">
        <f>COUNTIF('Checklist Production'!A55:A58,"⬜")</f>
        <v>3</v>
      </c>
      <c r="D11" s="9">
        <f>COUNTIF('Checklist Production'!A55:A58,"⏳")</f>
        <v>0</v>
      </c>
      <c r="E11" s="21">
        <f>COUNTIF('Checklist Production'!A55:A58,"❌")</f>
        <v>0</v>
      </c>
    </row>
    <row r="12" spans="1:5" ht="15" customHeight="1" x14ac:dyDescent="0.2">
      <c r="A12" s="19" t="s">
        <v>198</v>
      </c>
      <c r="B12" s="20">
        <f>COUNTIF('Checklist Production'!A60:A63,"✅")</f>
        <v>0</v>
      </c>
      <c r="C12" s="1">
        <f>COUNTIF('Checklist Production'!A60:A63,"⬜")</f>
        <v>3</v>
      </c>
      <c r="D12" s="9">
        <f>COUNTIF('Checklist Production'!A60:A63,"⏳")</f>
        <v>0</v>
      </c>
      <c r="E12" s="21">
        <f>COUNTIF('Checklist Production'!A60:A63,"❌")</f>
        <v>0</v>
      </c>
    </row>
    <row r="13" spans="1:5" ht="15" customHeight="1" x14ac:dyDescent="0.2">
      <c r="A13" s="19" t="s">
        <v>199</v>
      </c>
      <c r="B13" s="20">
        <f>COUNTIF('Checklist Production'!A65:A74,"✅")</f>
        <v>0</v>
      </c>
      <c r="C13" s="1">
        <f>COUNTIF('Checklist Production'!A65:A74,"⬜")</f>
        <v>8</v>
      </c>
      <c r="D13" s="9">
        <f>COUNTIF('Checklist Production'!A65:A74,"⏳")</f>
        <v>0</v>
      </c>
      <c r="E13" s="21">
        <f>COUNTIF('Checklist Production'!A65:A74,"❌")</f>
        <v>0</v>
      </c>
    </row>
    <row r="14" spans="1:5" ht="15" customHeight="1" x14ac:dyDescent="0.2">
      <c r="A14" s="19" t="s">
        <v>200</v>
      </c>
      <c r="B14" s="20">
        <f>COUNTIF('Checklist Production'!A76:A80,"✅")</f>
        <v>0</v>
      </c>
      <c r="C14" s="1">
        <f>COUNTIF('Checklist Production'!A76:A80,"⬜")</f>
        <v>5</v>
      </c>
      <c r="D14" s="9">
        <f>COUNTIF('Checklist Production'!A76:A80,"⏳")</f>
        <v>0</v>
      </c>
      <c r="E14" s="21">
        <f>COUNTIF('Checklist Production'!A76:A80,"❌")</f>
        <v>0</v>
      </c>
    </row>
    <row r="15" spans="1:5" ht="15" customHeight="1" x14ac:dyDescent="0.2">
      <c r="A15" s="22" t="s">
        <v>201</v>
      </c>
      <c r="B15" s="23">
        <f>SUM(B3:B14)</f>
        <v>23</v>
      </c>
      <c r="C15" s="23">
        <f>SUM(C3:C14)</f>
        <v>32</v>
      </c>
      <c r="D15" s="23">
        <f>SUM(D3:D14)</f>
        <v>0</v>
      </c>
      <c r="E15" s="23">
        <f>SUM(E3:E14)</f>
        <v>2</v>
      </c>
    </row>
    <row r="16" spans="1:5" ht="15" customHeight="1" x14ac:dyDescent="0.2">
      <c r="A16" s="17"/>
      <c r="B16" s="17"/>
      <c r="C16" s="17"/>
      <c r="D16" s="17"/>
      <c r="E16" s="17"/>
    </row>
    <row r="17" spans="1:5" ht="15" customHeight="1" x14ac:dyDescent="0.2">
      <c r="A17" s="17"/>
      <c r="B17" s="17"/>
      <c r="C17" s="17"/>
      <c r="D17" s="17"/>
      <c r="E17" s="17"/>
    </row>
    <row r="18" spans="1:5" ht="15" customHeight="1" x14ac:dyDescent="0.2">
      <c r="A18" s="17"/>
      <c r="B18" s="17"/>
      <c r="C18" s="17"/>
      <c r="D18" s="17"/>
      <c r="E18" s="17"/>
    </row>
    <row r="19" spans="1:5" ht="15" customHeight="1" x14ac:dyDescent="0.2">
      <c r="A19" s="17"/>
      <c r="B19" s="17"/>
      <c r="C19" s="17"/>
      <c r="D19" s="17"/>
      <c r="E19" s="17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Production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Mathieu THIAO-LAYEL</cp:lastModifiedBy>
  <cp:revision>0</cp:revision>
  <dcterms:created xsi:type="dcterms:W3CDTF">2026-03-19T18:32:52Z</dcterms:created>
  <dcterms:modified xsi:type="dcterms:W3CDTF">2026-03-20T10:02:52Z</dcterms:modified>
  <dc:language>en-US</dc:language>
</cp:coreProperties>
</file>